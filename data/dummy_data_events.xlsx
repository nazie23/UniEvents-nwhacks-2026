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1_{E13C8EDF-7367-4A14-862A-27F012B723F0}" xr6:coauthVersionLast="47" xr6:coauthVersionMax="47" xr10:uidLastSave="{00000000-0000-0000-0000-000000000000}"/>
  <bookViews>
    <workbookView xWindow="-103" yWindow="-103" windowWidth="21806" windowHeight="13886" xr2:uid="{8C4BA44B-F0C7-4173-B2E7-9CC963F395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D13" i="1"/>
  <c r="D12" i="1"/>
  <c r="F12" i="1"/>
  <c r="E12" i="1"/>
  <c r="D11" i="1"/>
  <c r="F10" i="1"/>
  <c r="D10" i="1"/>
  <c r="F9" i="1"/>
  <c r="E9" i="1"/>
  <c r="D9" i="1"/>
  <c r="F8" i="1"/>
  <c r="E8" i="1"/>
  <c r="D8" i="1"/>
  <c r="F7" i="1"/>
  <c r="E7" i="1"/>
  <c r="E6" i="1"/>
  <c r="D6" i="1"/>
  <c r="D7" i="1"/>
  <c r="F5" i="1"/>
  <c r="E5" i="1"/>
  <c r="D5" i="1"/>
  <c r="F4" i="1"/>
  <c r="E4" i="1"/>
  <c r="D4" i="1"/>
  <c r="E3" i="1"/>
  <c r="D3" i="1"/>
  <c r="F3" i="1"/>
  <c r="F6" i="1"/>
  <c r="E10" i="1"/>
  <c r="E11" i="1"/>
  <c r="F11" i="1"/>
  <c r="F13" i="1"/>
  <c r="F2" i="1"/>
  <c r="E2" i="1"/>
  <c r="D2" i="1"/>
</calcChain>
</file>

<file path=xl/sharedStrings.xml><?xml version="1.0" encoding="utf-8"?>
<sst xmlns="http://schemas.openxmlformats.org/spreadsheetml/2006/main" count="71" uniqueCount="65">
  <si>
    <t>Event Name</t>
  </si>
  <si>
    <t>Club</t>
  </si>
  <si>
    <t>Learn to Boil Water!</t>
  </si>
  <si>
    <t>UBC Cooking Club</t>
  </si>
  <si>
    <t>Description</t>
  </si>
  <si>
    <t>Tags</t>
  </si>
  <si>
    <t>Poke Workshop</t>
  </si>
  <si>
    <t>UBC Baking Club</t>
  </si>
  <si>
    <t>UBC Queer-Coded</t>
  </si>
  <si>
    <t>Colorful Conversations</t>
  </si>
  <si>
    <t>Place</t>
  </si>
  <si>
    <t>Capacity</t>
  </si>
  <si>
    <t>Number of Attendees</t>
  </si>
  <si>
    <t>Number on Waitlist</t>
  </si>
  <si>
    <t>Cupcake Workshop</t>
  </si>
  <si>
    <t>Icing Workshop</t>
  </si>
  <si>
    <t>UBC Badminton</t>
  </si>
  <si>
    <t>UBC BizTech</t>
  </si>
  <si>
    <t>Networking Night</t>
  </si>
  <si>
    <t>UBC Launchpad</t>
  </si>
  <si>
    <t>Drop-In Session</t>
  </si>
  <si>
    <t>Project Showcase</t>
  </si>
  <si>
    <t>UBC HKSA</t>
  </si>
  <si>
    <t>UBC SSA</t>
  </si>
  <si>
    <t>Weekly Langai</t>
  </si>
  <si>
    <t>UBC Bangra</t>
  </si>
  <si>
    <t>Movie Night</t>
  </si>
  <si>
    <t>Dance Workshop</t>
  </si>
  <si>
    <t>Social, Networking</t>
  </si>
  <si>
    <t>Sport</t>
  </si>
  <si>
    <t>Social, Movie</t>
  </si>
  <si>
    <t>Business, Tech</t>
  </si>
  <si>
    <t>Networking, Business, Tech</t>
  </si>
  <si>
    <t>Food</t>
  </si>
  <si>
    <t>Creative, Cooking, Food</t>
  </si>
  <si>
    <t>Creative, Baking, Food</t>
  </si>
  <si>
    <t>UBC Music Initiative</t>
  </si>
  <si>
    <t>Jam Session</t>
  </si>
  <si>
    <t>Social, Music</t>
  </si>
  <si>
    <t>Dance, Music</t>
  </si>
  <si>
    <t>Boiling Water Workshop</t>
  </si>
  <si>
    <t>Learn how to make and use icing</t>
  </si>
  <si>
    <t>Connect with other queer folk and network with professors!</t>
  </si>
  <si>
    <t>Drop in for a quick badminton game!</t>
  </si>
  <si>
    <t>Learn to make a Poke bowl at home.</t>
  </si>
  <si>
    <t>Learn how to bake cupcakes.</t>
  </si>
  <si>
    <t>Network with other like-minded people in the business and tech industry!</t>
  </si>
  <si>
    <t>Showcase your term projects!</t>
  </si>
  <si>
    <t>Cozy up and watch a movie with friends!</t>
  </si>
  <si>
    <t>Join us for a dance session!</t>
  </si>
  <si>
    <t>Enjoy free food.</t>
  </si>
  <si>
    <t>Jam out with your fellow musicians!</t>
  </si>
  <si>
    <t>Date</t>
  </si>
  <si>
    <t>Start Time</t>
  </si>
  <si>
    <t>End Time</t>
  </si>
  <si>
    <t>Tallwood Collegia</t>
  </si>
  <si>
    <t>Brock Collegium</t>
  </si>
  <si>
    <t>Computer Science Building</t>
  </si>
  <si>
    <t>Student Recreation Centre</t>
  </si>
  <si>
    <t>Sauder Building</t>
  </si>
  <si>
    <t>Buchanan Building</t>
  </si>
  <si>
    <t>Arts Student Centre</t>
  </si>
  <si>
    <t>AMS Student Nest</t>
  </si>
  <si>
    <t>Student Recreation North</t>
  </si>
  <si>
    <t>Chan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</si>
</sst>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1C52E-3C63-41CC-A9DD-931020BB19F3}">
  <dimension ref="A1:K13"/>
  <sheetViews>
    <sheetView tabSelected="1" workbookViewId="0">
      <selection activeCell="G14" sqref="G14"/>
    </sheetView>
  </sheetViews>
  <sheetFormatPr defaultRowHeight="14.6" x14ac:dyDescent="0.4"/>
  <cols>
    <col min="1" max="1" width="20.07421875" bestFit="1" customWidth="1"/>
    <col min="2" max="2" width="20.23046875" bestFit="1" customWidth="1"/>
    <col min="3" max="3" width="59.84375" bestFit="1" customWidth="1"/>
    <col min="4" max="4" width="10.07421875" bestFit="1" customWidth="1"/>
    <col min="5" max="6" width="12.53515625" bestFit="1" customWidth="1"/>
    <col min="7" max="7" width="22.61328125" bestFit="1" customWidth="1"/>
    <col min="8" max="8" width="7.921875" bestFit="1" customWidth="1"/>
    <col min="9" max="9" width="18" bestFit="1" customWidth="1"/>
    <col min="10" max="10" width="16.3046875" bestFit="1" customWidth="1"/>
    <col min="11" max="11" width="23.15234375" bestFit="1" customWidth="1"/>
  </cols>
  <sheetData>
    <row r="1" spans="1:11" x14ac:dyDescent="0.4">
      <c r="A1" t="s">
        <v>0</v>
      </c>
      <c r="B1" t="s">
        <v>1</v>
      </c>
      <c r="C1" t="s">
        <v>4</v>
      </c>
      <c r="D1" t="s">
        <v>52</v>
      </c>
      <c r="E1" t="s">
        <v>53</v>
      </c>
      <c r="F1" t="s">
        <v>54</v>
      </c>
      <c r="G1" t="s">
        <v>10</v>
      </c>
      <c r="H1" t="s">
        <v>11</v>
      </c>
      <c r="I1" t="s">
        <v>12</v>
      </c>
      <c r="J1" t="s">
        <v>13</v>
      </c>
      <c r="K1" t="s">
        <v>5</v>
      </c>
    </row>
    <row r="2" spans="1:11" x14ac:dyDescent="0.4">
      <c r="A2" t="s">
        <v>40</v>
      </c>
      <c r="B2" t="s">
        <v>3</v>
      </c>
      <c r="C2" t="s">
        <v>2</v>
      </c>
      <c r="D2" s="1">
        <f>DATE(2026,1,16)</f>
        <v>46038</v>
      </c>
      <c r="E2" s="2">
        <f>TIME(17,0,0)</f>
        <v>0.70833333333333337</v>
      </c>
      <c r="F2" s="2">
        <f>TIME(18,0,0)</f>
        <v>0.75</v>
      </c>
      <c r="G2" t="s">
        <v>55</v>
      </c>
      <c r="H2">
        <v>50</v>
      </c>
      <c r="I2">
        <v>50</v>
      </c>
      <c r="J2">
        <v>10</v>
      </c>
      <c r="K2" t="s">
        <v>34</v>
      </c>
    </row>
    <row r="3" spans="1:11" x14ac:dyDescent="0.4">
      <c r="A3" t="s">
        <v>6</v>
      </c>
      <c r="B3" t="s">
        <v>3</v>
      </c>
      <c r="C3" t="s">
        <v>44</v>
      </c>
      <c r="D3" s="1">
        <f>DATE(2026,1,19)</f>
        <v>46041</v>
      </c>
      <c r="E3" s="2">
        <f>TIME(16,0,0)</f>
        <v>0.66666666666666663</v>
      </c>
      <c r="F3" s="2">
        <f t="shared" ref="F3:F13" si="0">TIME(18,0,0)</f>
        <v>0.75</v>
      </c>
      <c r="G3" t="s">
        <v>55</v>
      </c>
      <c r="H3">
        <v>30</v>
      </c>
      <c r="I3">
        <v>25</v>
      </c>
      <c r="J3">
        <v>0</v>
      </c>
      <c r="K3" t="s">
        <v>34</v>
      </c>
    </row>
    <row r="4" spans="1:11" x14ac:dyDescent="0.4">
      <c r="A4" t="s">
        <v>14</v>
      </c>
      <c r="B4" t="s">
        <v>7</v>
      </c>
      <c r="C4" t="s">
        <v>45</v>
      </c>
      <c r="D4" s="1">
        <f>DATE(2026,1,19)</f>
        <v>46041</v>
      </c>
      <c r="E4" s="2">
        <f>TIME(18,30,0)</f>
        <v>0.77083333333333337</v>
      </c>
      <c r="F4" s="2">
        <f>TIME(20,0,0)</f>
        <v>0.83333333333333337</v>
      </c>
      <c r="G4" t="s">
        <v>56</v>
      </c>
      <c r="H4">
        <v>20</v>
      </c>
      <c r="I4">
        <v>20</v>
      </c>
      <c r="J4">
        <v>20</v>
      </c>
      <c r="K4" t="s">
        <v>35</v>
      </c>
    </row>
    <row r="5" spans="1:11" x14ac:dyDescent="0.4">
      <c r="A5" t="s">
        <v>15</v>
      </c>
      <c r="B5" t="s">
        <v>7</v>
      </c>
      <c r="C5" t="s">
        <v>41</v>
      </c>
      <c r="D5" s="1">
        <f>DATE(2026,1,20)</f>
        <v>46042</v>
      </c>
      <c r="E5" s="2">
        <f>TIME(18,30,0)</f>
        <v>0.77083333333333337</v>
      </c>
      <c r="F5" s="2">
        <f>TIME(20,0,0)</f>
        <v>0.83333333333333337</v>
      </c>
      <c r="G5" t="s">
        <v>56</v>
      </c>
      <c r="H5">
        <v>20</v>
      </c>
      <c r="I5">
        <v>10</v>
      </c>
      <c r="J5">
        <v>0</v>
      </c>
      <c r="K5" t="s">
        <v>35</v>
      </c>
    </row>
    <row r="6" spans="1:11" x14ac:dyDescent="0.4">
      <c r="A6" t="s">
        <v>9</v>
      </c>
      <c r="B6" t="s">
        <v>8</v>
      </c>
      <c r="C6" t="s">
        <v>42</v>
      </c>
      <c r="D6" s="1">
        <f>DATE(2026,1,21)</f>
        <v>46043</v>
      </c>
      <c r="E6" s="2">
        <f>TIME(16,0,0)</f>
        <v>0.66666666666666663</v>
      </c>
      <c r="F6" s="2">
        <f t="shared" si="0"/>
        <v>0.75</v>
      </c>
      <c r="G6" t="s">
        <v>57</v>
      </c>
      <c r="H6">
        <v>50</v>
      </c>
      <c r="I6">
        <v>30</v>
      </c>
      <c r="J6">
        <v>0</v>
      </c>
      <c r="K6" t="s">
        <v>28</v>
      </c>
    </row>
    <row r="7" spans="1:11" x14ac:dyDescent="0.4">
      <c r="A7" t="s">
        <v>20</v>
      </c>
      <c r="B7" t="s">
        <v>16</v>
      </c>
      <c r="C7" t="s">
        <v>43</v>
      </c>
      <c r="D7" s="1">
        <f t="shared" ref="D7" si="1">DATE(2026,1,20)</f>
        <v>46042</v>
      </c>
      <c r="E7" s="2">
        <f>TIME(12,0,0)</f>
        <v>0.5</v>
      </c>
      <c r="F7" s="2">
        <f>TIME(16,0,0)</f>
        <v>0.66666666666666663</v>
      </c>
      <c r="G7" t="s">
        <v>58</v>
      </c>
      <c r="H7">
        <v>60</v>
      </c>
      <c r="I7">
        <v>60</v>
      </c>
      <c r="J7">
        <v>100</v>
      </c>
      <c r="K7" t="s">
        <v>29</v>
      </c>
    </row>
    <row r="8" spans="1:11" x14ac:dyDescent="0.4">
      <c r="A8" t="s">
        <v>18</v>
      </c>
      <c r="B8" t="s">
        <v>17</v>
      </c>
      <c r="C8" t="s">
        <v>46</v>
      </c>
      <c r="D8" s="1">
        <f>DATE(2026,1,23)</f>
        <v>46045</v>
      </c>
      <c r="E8" s="2">
        <f>TIME(17,30,0)</f>
        <v>0.72916666666666663</v>
      </c>
      <c r="F8" s="2">
        <f>TIME(19,0,0)</f>
        <v>0.79166666666666663</v>
      </c>
      <c r="G8" t="s">
        <v>59</v>
      </c>
      <c r="H8">
        <v>70</v>
      </c>
      <c r="I8">
        <v>60</v>
      </c>
      <c r="J8">
        <v>0</v>
      </c>
      <c r="K8" t="s">
        <v>32</v>
      </c>
    </row>
    <row r="9" spans="1:11" x14ac:dyDescent="0.4">
      <c r="A9" t="s">
        <v>21</v>
      </c>
      <c r="B9" t="s">
        <v>19</v>
      </c>
      <c r="C9" t="s">
        <v>47</v>
      </c>
      <c r="D9" s="1">
        <f>DATE(2026,1,26)</f>
        <v>46048</v>
      </c>
      <c r="E9" s="2">
        <f>TIME(17,30,0)</f>
        <v>0.72916666666666663</v>
      </c>
      <c r="F9" s="2">
        <f>TIME(18,30,0)</f>
        <v>0.77083333333333337</v>
      </c>
      <c r="G9" t="s">
        <v>60</v>
      </c>
      <c r="H9">
        <v>40</v>
      </c>
      <c r="I9">
        <v>39</v>
      </c>
      <c r="J9">
        <v>0</v>
      </c>
      <c r="K9" t="s">
        <v>31</v>
      </c>
    </row>
    <row r="10" spans="1:11" x14ac:dyDescent="0.4">
      <c r="A10" t="s">
        <v>26</v>
      </c>
      <c r="B10" t="s">
        <v>22</v>
      </c>
      <c r="C10" t="s">
        <v>48</v>
      </c>
      <c r="D10" s="1">
        <f>DATE(2026,1,26)</f>
        <v>46048</v>
      </c>
      <c r="E10" s="2">
        <f t="shared" ref="E10:E11" si="2">TIME(17,0,0)</f>
        <v>0.70833333333333337</v>
      </c>
      <c r="F10" s="2">
        <f>TIME(19,0,0)</f>
        <v>0.79166666666666663</v>
      </c>
      <c r="G10" t="s">
        <v>61</v>
      </c>
      <c r="H10">
        <v>30</v>
      </c>
      <c r="I10">
        <v>30</v>
      </c>
      <c r="J10">
        <v>0</v>
      </c>
      <c r="K10" t="s">
        <v>30</v>
      </c>
    </row>
    <row r="11" spans="1:11" x14ac:dyDescent="0.4">
      <c r="A11" t="s">
        <v>27</v>
      </c>
      <c r="B11" t="s">
        <v>25</v>
      </c>
      <c r="C11" t="s">
        <v>49</v>
      </c>
      <c r="D11" s="1">
        <f>DATE(2026,1,27)</f>
        <v>46049</v>
      </c>
      <c r="E11" s="2">
        <f t="shared" si="2"/>
        <v>0.70833333333333337</v>
      </c>
      <c r="F11" s="2">
        <f t="shared" si="0"/>
        <v>0.75</v>
      </c>
      <c r="G11" t="s">
        <v>63</v>
      </c>
      <c r="H11">
        <v>20</v>
      </c>
      <c r="I11">
        <v>20</v>
      </c>
      <c r="J11">
        <v>2</v>
      </c>
      <c r="K11" t="s">
        <v>39</v>
      </c>
    </row>
    <row r="12" spans="1:11" x14ac:dyDescent="0.4">
      <c r="A12" t="s">
        <v>24</v>
      </c>
      <c r="B12" t="s">
        <v>23</v>
      </c>
      <c r="C12" t="s">
        <v>50</v>
      </c>
      <c r="D12" s="1">
        <f>DATE(2026,1,27)</f>
        <v>46049</v>
      </c>
      <c r="E12" s="2">
        <f>TIME(18,0,0)</f>
        <v>0.75</v>
      </c>
      <c r="F12" s="2">
        <f>TIME(20,0,0)</f>
        <v>0.83333333333333337</v>
      </c>
      <c r="G12" t="s">
        <v>62</v>
      </c>
      <c r="H12">
        <v>80</v>
      </c>
      <c r="I12">
        <v>73</v>
      </c>
      <c r="J12">
        <v>0</v>
      </c>
      <c r="K12" t="s">
        <v>33</v>
      </c>
    </row>
    <row r="13" spans="1:11" x14ac:dyDescent="0.4">
      <c r="A13" t="s">
        <v>37</v>
      </c>
      <c r="B13" t="s">
        <v>36</v>
      </c>
      <c r="C13" t="s">
        <v>51</v>
      </c>
      <c r="D13" s="1">
        <f>DATE(2026,1,29)</f>
        <v>46051</v>
      </c>
      <c r="E13" s="2">
        <f>TIME(16,0,0)</f>
        <v>0.66666666666666663</v>
      </c>
      <c r="F13" s="2">
        <f t="shared" si="0"/>
        <v>0.75</v>
      </c>
      <c r="G13" t="s">
        <v>64</v>
      </c>
      <c r="H13">
        <v>50</v>
      </c>
      <c r="I13">
        <v>50</v>
      </c>
      <c r="J13">
        <v>5</v>
      </c>
      <c r="K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Nazia Edroos</dc:creator>
  <cp:lastModifiedBy>Nazia Edroos</cp:lastModifiedBy>
  <dcterms:created xsi:type="dcterms:W3CDTF">2026-01-17T20:41:58Z</dcterms:created>
  <dcterms:modified xsi:type="dcterms:W3CDTF">2026-01-17T22:20:28Z</dcterms:modified>
</cp:coreProperties>
</file>